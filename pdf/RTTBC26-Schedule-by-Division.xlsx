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9f8723705ec823/Webmaster/gallop-racing/pdf/"/>
    </mc:Choice>
  </mc:AlternateContent>
  <xr:revisionPtr revIDLastSave="1624" documentId="8_{DAECCBE5-FF72-4188-B2F1-1541968A3FDC}" xr6:coauthVersionLast="47" xr6:coauthVersionMax="47" xr10:uidLastSave="{5711646A-2FC7-4D27-A622-D341ECBCF267}"/>
  <bookViews>
    <workbookView xWindow="-108" yWindow="-108" windowWidth="23256" windowHeight="13896" xr2:uid="{EAD27B02-19FE-4D48-9014-ED6E24DB84F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2" l="1"/>
  <c r="D40" i="2"/>
  <c r="I40" i="2"/>
  <c r="H40" i="2"/>
  <c r="G40" i="2"/>
  <c r="F40" i="2"/>
  <c r="E40" i="2"/>
  <c r="B41" i="2" l="1"/>
</calcChain>
</file>

<file path=xl/sharedStrings.xml><?xml version="1.0" encoding="utf-8"?>
<sst xmlns="http://schemas.openxmlformats.org/spreadsheetml/2006/main" count="113" uniqueCount="112">
  <si>
    <t>9 Furlongs</t>
  </si>
  <si>
    <t>8 Furlongs</t>
  </si>
  <si>
    <t>7 Furlongs</t>
  </si>
  <si>
    <t>6 Furlongs</t>
  </si>
  <si>
    <t>8.5 Furlongs</t>
  </si>
  <si>
    <t>10 Furlongs</t>
  </si>
  <si>
    <t>Belmont S.-G1</t>
  </si>
  <si>
    <t>Woody Stephens S.-G1</t>
  </si>
  <si>
    <t>Metropolitan H.-G1</t>
  </si>
  <si>
    <t>Ogden Phipps S.-G1</t>
  </si>
  <si>
    <t>Matt Winn S.-G3</t>
  </si>
  <si>
    <t>Salvator Mile-G3</t>
  </si>
  <si>
    <t>Ohio Derby-G3</t>
  </si>
  <si>
    <t>Fleur de Lis S.-G2</t>
  </si>
  <si>
    <t>Stephen Foster S.-G1</t>
  </si>
  <si>
    <t>Delaware Oaks-G3</t>
  </si>
  <si>
    <t>Great Lady M S.-G2</t>
  </si>
  <si>
    <t>Prairie Meadows Cornhusker H.-G3</t>
  </si>
  <si>
    <t>Suburban S.-G2</t>
  </si>
  <si>
    <t>Victory Ride S.-G3</t>
  </si>
  <si>
    <t>Indiana Oaks-G3</t>
  </si>
  <si>
    <t>Indiana Derby-G3</t>
  </si>
  <si>
    <t>Sanford S.-G3</t>
  </si>
  <si>
    <t>CC American Oaks-G1</t>
  </si>
  <si>
    <t>Monmouth Cup S.-G3</t>
  </si>
  <si>
    <t>Haskell S.-G1</t>
  </si>
  <si>
    <t>Shuvee S.-G2</t>
  </si>
  <si>
    <t>Honorable Miss H.-G2</t>
  </si>
  <si>
    <t>Amsterdam S.-G2</t>
  </si>
  <si>
    <t>Jim Dandy S.-G2</t>
  </si>
  <si>
    <t>San Diego H.-G2</t>
  </si>
  <si>
    <t>Bing Crosby S.-G1</t>
  </si>
  <si>
    <t>Monmouth Oaks-G3</t>
  </si>
  <si>
    <t>Whitney H.-G1</t>
  </si>
  <si>
    <t>Clement L. Hirsch S.-G1</t>
  </si>
  <si>
    <t>West Virginia Derby-G3</t>
  </si>
  <si>
    <t>Adirondack S.-G3</t>
  </si>
  <si>
    <t>Saratoga Special S.-G2</t>
  </si>
  <si>
    <t>Sorrento S.-G3</t>
  </si>
  <si>
    <t>Best Pal S.-G3</t>
  </si>
  <si>
    <t>Alabama S.-G1</t>
  </si>
  <si>
    <t>Philip H. Iselin S.-G3</t>
  </si>
  <si>
    <t>Charles Town Classic S.-G2</t>
  </si>
  <si>
    <t>Personal Ensign S.-G1</t>
  </si>
  <si>
    <t>Forego S.-G1</t>
  </si>
  <si>
    <t>H. A. Jerkens Mem. S.-G1</t>
  </si>
  <si>
    <t>Ballerina H.-G1</t>
  </si>
  <si>
    <t>Rancho Bernardo H.-G3</t>
  </si>
  <si>
    <t>Pat O'Brien S.-G2</t>
  </si>
  <si>
    <t>Jockey Club Gold Cup-G1</t>
  </si>
  <si>
    <t>Pacific Classic-G1</t>
  </si>
  <si>
    <t>Torrey Pines S.-G3</t>
  </si>
  <si>
    <t>Spinaway S.-G1</t>
  </si>
  <si>
    <t>Hopeful S.-G1</t>
  </si>
  <si>
    <t>Del Mar Debutante S.-G1</t>
  </si>
  <si>
    <t>Del Mar Futurity-G1</t>
  </si>
  <si>
    <t>Iroquois S.-G3</t>
  </si>
  <si>
    <t>Pocahontas S.-G3</t>
  </si>
  <si>
    <t>Cotillion S.-G1</t>
  </si>
  <si>
    <t>Pennsylvania Derby-G1</t>
  </si>
  <si>
    <t>Gallant Bob S.-G2</t>
  </si>
  <si>
    <t>Dogwood S.-G3</t>
  </si>
  <si>
    <t>Oklahoma Derby-G3</t>
  </si>
  <si>
    <t>Chillingworth S.-G3</t>
  </si>
  <si>
    <t>Gallant Bloom H.-G2</t>
  </si>
  <si>
    <t>Vosburgh S.-G2</t>
  </si>
  <si>
    <t>Santa Anita Sprint Champ. S.-G2</t>
  </si>
  <si>
    <t>Lukas Classic-G2</t>
  </si>
  <si>
    <t>Ack Ack S.-G3</t>
  </si>
  <si>
    <t>Zenyatta S.-G2</t>
  </si>
  <si>
    <t>Champagne S.-G1</t>
  </si>
  <si>
    <t>Frizette S.-G1</t>
  </si>
  <si>
    <t>American Pharoah S.-G1</t>
  </si>
  <si>
    <t>Beldame S.-G2</t>
  </si>
  <si>
    <t>T'bred Club of America S.-G2</t>
  </si>
  <si>
    <t>BC JUVENILE-G1</t>
  </si>
  <si>
    <t>BC JUVY FILLIES-G1</t>
  </si>
  <si>
    <t>BC F&amp;M SPRINT-G1</t>
  </si>
  <si>
    <t>BC SPRINT-G1</t>
  </si>
  <si>
    <t>BC DIRT MILE-G1</t>
  </si>
  <si>
    <t>BC DISTAFF-G1</t>
  </si>
  <si>
    <t>BC CLASSIC-G1</t>
  </si>
  <si>
    <t>Breeder's Cup "Win &amp; You're In" Race</t>
  </si>
  <si>
    <t>Breeder's Cup "Dirt Dozen" Race</t>
  </si>
  <si>
    <t>Race Totals per Breeders' Cup Division</t>
  </si>
  <si>
    <t>DIVISIONS</t>
  </si>
  <si>
    <t>WEEKS</t>
  </si>
  <si>
    <t>Bed o' Roses Invit'l-G2</t>
  </si>
  <si>
    <t>Princess Rooney Invt'l-G3</t>
  </si>
  <si>
    <t>Travers S.-G1</t>
  </si>
  <si>
    <t>Perryville S.-G3</t>
  </si>
  <si>
    <t>Test S.-G1</t>
  </si>
  <si>
    <t>Locust Grove S.-G2</t>
  </si>
  <si>
    <t>Prioress S.-G3</t>
  </si>
  <si>
    <t>Charles Town Oaks S.-G2</t>
  </si>
  <si>
    <t>Oak Leaf S.-G2</t>
  </si>
  <si>
    <t>Chicago H.-G2</t>
  </si>
  <si>
    <t>Summertime Oaks.-G3</t>
  </si>
  <si>
    <t>Delaware H.-G3</t>
  </si>
  <si>
    <t>Alfred G. Vanderbilt H.-G2</t>
  </si>
  <si>
    <t>True North H.-G3</t>
  </si>
  <si>
    <t>Acorn S.-G1</t>
  </si>
  <si>
    <t>Goodwood S.-G1</t>
  </si>
  <si>
    <t>Spinster S.-G1</t>
  </si>
  <si>
    <t>Breeders Futurity-G1</t>
  </si>
  <si>
    <t>Alcibiades S.-G1</t>
  </si>
  <si>
    <t>Molly Pitcher S.-G2</t>
  </si>
  <si>
    <t>Maxfield S.-G3</t>
  </si>
  <si>
    <t>Hanshin S.-G3</t>
  </si>
  <si>
    <t>Bango S.-G3</t>
  </si>
  <si>
    <t>Raven Run S.-G2</t>
  </si>
  <si>
    <t>Phoenix S.-G2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</si>
</sst>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i/>
      <sz val="16"/>
      <name val="Calibri"/>
      <family val="2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018786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8" fillId="0" borderId="3" xfId="0" applyFont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0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9" xfId="0" applyFont="1" applyFill="1" applyBorder="1"/>
    <xf numFmtId="0" fontId="3" fillId="2" borderId="10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13" fillId="0" borderId="6" xfId="0" applyFont="1" applyBorder="1" applyAlignment="1">
      <alignment horizontal="center"/>
    </xf>
    <xf numFmtId="0" fontId="0" fillId="0" borderId="0" xfId="0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0" fontId="3" fillId="3" borderId="6" xfId="0" applyFont="1" applyFill="1" applyBorder="1" applyAlignment="1">
      <alignment vertical="top"/>
    </xf>
    <xf numFmtId="0" fontId="2" fillId="0" borderId="7" xfId="0" applyFont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3" borderId="11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/>
    </xf>
    <xf numFmtId="0" fontId="10" fillId="3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6" fillId="0" borderId="5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3" borderId="7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top"/>
    </xf>
    <xf numFmtId="0" fontId="10" fillId="3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 textRotation="90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187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83450-6415-4D0D-A0B8-DEE615502A89}">
  <dimension ref="A1:I42"/>
  <sheetViews>
    <sheetView tabSelected="1" view="pageBreakPreview" zoomScaleNormal="100" zoomScaleSheetLayoutView="100" workbookViewId="0">
      <pane ySplit="3" topLeftCell="A4" activePane="bottomLeft" state="frozen"/>
      <selection pane="bottomLeft" activeCell="F6" sqref="F6:F7"/>
    </sheetView>
  </sheetViews>
  <sheetFormatPr defaultRowHeight="18" x14ac:dyDescent="0.35"/>
  <cols>
    <col min="2" max="2" width="4.33203125" style="28" bestFit="1" customWidth="1"/>
    <col min="3" max="3" width="36" style="1" bestFit="1" customWidth="1"/>
    <col min="4" max="4" width="34.6640625" style="1" bestFit="1" customWidth="1"/>
    <col min="5" max="5" width="32.6640625" style="1" bestFit="1" customWidth="1"/>
    <col min="6" max="6" width="32.109375" style="1" customWidth="1"/>
    <col min="7" max="7" width="32.33203125" style="1" bestFit="1" customWidth="1"/>
    <col min="8" max="8" width="34.33203125" style="1" bestFit="1" customWidth="1"/>
    <col min="9" max="9" width="36.6640625" style="1" bestFit="1" customWidth="1"/>
  </cols>
  <sheetData>
    <row r="1" spans="1:9" ht="31.8" thickBot="1" x14ac:dyDescent="0.65">
      <c r="A1" s="73"/>
      <c r="B1" s="73"/>
      <c r="C1" s="88" t="s">
        <v>85</v>
      </c>
      <c r="D1" s="88"/>
      <c r="E1" s="88"/>
      <c r="F1" s="88"/>
      <c r="G1" s="88"/>
      <c r="H1" s="88"/>
      <c r="I1" s="88"/>
    </row>
    <row r="2" spans="1:9" ht="21" x14ac:dyDescent="0.4">
      <c r="A2" s="89" t="s">
        <v>86</v>
      </c>
      <c r="B2" s="26"/>
      <c r="C2" s="24" t="s">
        <v>81</v>
      </c>
      <c r="D2" s="24" t="s">
        <v>80</v>
      </c>
      <c r="E2" s="24" t="s">
        <v>75</v>
      </c>
      <c r="F2" s="24" t="s">
        <v>76</v>
      </c>
      <c r="G2" s="24" t="s">
        <v>79</v>
      </c>
      <c r="H2" s="24" t="s">
        <v>77</v>
      </c>
      <c r="I2" s="24" t="s">
        <v>78</v>
      </c>
    </row>
    <row r="3" spans="1:9" ht="18.600000000000001" thickBot="1" x14ac:dyDescent="0.4">
      <c r="A3" s="89"/>
      <c r="B3" s="27"/>
      <c r="C3" s="25" t="s">
        <v>5</v>
      </c>
      <c r="D3" s="25" t="s">
        <v>0</v>
      </c>
      <c r="E3" s="25" t="s">
        <v>4</v>
      </c>
      <c r="F3" s="25" t="s">
        <v>4</v>
      </c>
      <c r="G3" s="25" t="s">
        <v>1</v>
      </c>
      <c r="H3" s="25" t="s">
        <v>2</v>
      </c>
      <c r="I3" s="25" t="s">
        <v>3</v>
      </c>
    </row>
    <row r="4" spans="1:9" ht="21" x14ac:dyDescent="0.4">
      <c r="A4" s="89"/>
      <c r="B4" s="86">
        <v>1</v>
      </c>
      <c r="C4" s="21" t="s">
        <v>6</v>
      </c>
      <c r="D4" s="18" t="s">
        <v>9</v>
      </c>
      <c r="E4" s="74"/>
      <c r="F4" s="74"/>
      <c r="G4" s="95" t="s">
        <v>8</v>
      </c>
      <c r="H4" s="92" t="s">
        <v>87</v>
      </c>
      <c r="I4" s="8" t="s">
        <v>100</v>
      </c>
    </row>
    <row r="5" spans="1:9" ht="21.6" thickBot="1" x14ac:dyDescent="0.45">
      <c r="A5" s="89"/>
      <c r="B5" s="94"/>
      <c r="C5" s="11" t="s">
        <v>10</v>
      </c>
      <c r="D5" s="64" t="s">
        <v>101</v>
      </c>
      <c r="E5" s="75"/>
      <c r="F5" s="75"/>
      <c r="G5" s="96"/>
      <c r="H5" s="93"/>
      <c r="I5" s="65" t="s">
        <v>7</v>
      </c>
    </row>
    <row r="6" spans="1:9" ht="18.75" customHeight="1" x14ac:dyDescent="0.3">
      <c r="A6" s="89"/>
      <c r="B6" s="90">
        <v>2</v>
      </c>
      <c r="C6" s="74"/>
      <c r="D6" s="30" t="s">
        <v>15</v>
      </c>
      <c r="E6" s="74"/>
      <c r="F6" s="74"/>
      <c r="G6" s="103" t="s">
        <v>11</v>
      </c>
      <c r="H6" s="132"/>
      <c r="I6" s="74"/>
    </row>
    <row r="7" spans="1:9" ht="16.2" thickBot="1" x14ac:dyDescent="0.35">
      <c r="A7" s="89"/>
      <c r="B7" s="91"/>
      <c r="C7" s="75"/>
      <c r="D7" s="11" t="s">
        <v>97</v>
      </c>
      <c r="E7" s="75"/>
      <c r="F7" s="75"/>
      <c r="G7" s="104"/>
      <c r="H7" s="133"/>
      <c r="I7" s="75"/>
    </row>
    <row r="8" spans="1:9" ht="18.600000000000001" thickBot="1" x14ac:dyDescent="0.4">
      <c r="A8" s="89"/>
      <c r="B8" s="63">
        <v>3</v>
      </c>
      <c r="C8" s="10" t="s">
        <v>12</v>
      </c>
      <c r="D8" s="3"/>
      <c r="E8" s="3"/>
      <c r="F8" s="3"/>
      <c r="G8" s="3"/>
      <c r="H8" s="38" t="s">
        <v>96</v>
      </c>
      <c r="I8" s="3"/>
    </row>
    <row r="9" spans="1:9" ht="14.4" x14ac:dyDescent="0.3">
      <c r="A9" s="89"/>
      <c r="B9" s="86">
        <v>4</v>
      </c>
      <c r="C9" s="95" t="s">
        <v>14</v>
      </c>
      <c r="D9" s="118" t="s">
        <v>13</v>
      </c>
      <c r="E9" s="74"/>
      <c r="F9" s="128"/>
      <c r="G9" s="2" t="s">
        <v>107</v>
      </c>
      <c r="H9" s="130"/>
      <c r="I9" s="103" t="s">
        <v>109</v>
      </c>
    </row>
    <row r="10" spans="1:9" s="35" customFormat="1" ht="16.2" thickBot="1" x14ac:dyDescent="0.35">
      <c r="A10" s="89"/>
      <c r="B10" s="94"/>
      <c r="C10" s="96"/>
      <c r="D10" s="120"/>
      <c r="E10" s="75"/>
      <c r="F10" s="129"/>
      <c r="G10" s="42" t="s">
        <v>108</v>
      </c>
      <c r="H10" s="131"/>
      <c r="I10" s="104"/>
    </row>
    <row r="11" spans="1:9" ht="18.600000000000001" thickBot="1" x14ac:dyDescent="0.4">
      <c r="A11" s="89"/>
      <c r="B11" s="56">
        <v>5</v>
      </c>
      <c r="C11" s="13" t="s">
        <v>18</v>
      </c>
      <c r="D11" s="37"/>
      <c r="E11" s="57" t="s">
        <v>22</v>
      </c>
      <c r="F11" s="4"/>
      <c r="G11" s="37"/>
      <c r="H11" s="61" t="s">
        <v>16</v>
      </c>
      <c r="I11" s="37"/>
    </row>
    <row r="12" spans="1:9" ht="19.5" customHeight="1" x14ac:dyDescent="0.3">
      <c r="A12" s="89"/>
      <c r="B12" s="90">
        <v>6</v>
      </c>
      <c r="C12" s="2" t="s">
        <v>17</v>
      </c>
      <c r="D12" s="103" t="s">
        <v>20</v>
      </c>
      <c r="E12" s="134"/>
      <c r="F12" s="134"/>
      <c r="G12" s="74"/>
      <c r="H12" s="103" t="s">
        <v>19</v>
      </c>
      <c r="I12" s="74"/>
    </row>
    <row r="13" spans="1:9" ht="16.2" thickBot="1" x14ac:dyDescent="0.35">
      <c r="A13" s="89"/>
      <c r="B13" s="91"/>
      <c r="C13" s="11" t="s">
        <v>21</v>
      </c>
      <c r="D13" s="104"/>
      <c r="E13" s="135"/>
      <c r="F13" s="135"/>
      <c r="G13" s="75"/>
      <c r="H13" s="104"/>
      <c r="I13" s="75"/>
    </row>
    <row r="14" spans="1:9" ht="15.75" customHeight="1" x14ac:dyDescent="0.3">
      <c r="A14" s="89"/>
      <c r="B14" s="86">
        <v>7</v>
      </c>
      <c r="C14" s="8" t="s">
        <v>24</v>
      </c>
      <c r="D14" s="92" t="s">
        <v>106</v>
      </c>
      <c r="E14" s="74"/>
      <c r="F14" s="74"/>
      <c r="G14" s="121" t="s">
        <v>30</v>
      </c>
      <c r="H14" s="92"/>
      <c r="I14" s="92"/>
    </row>
    <row r="15" spans="1:9" ht="21.6" thickBot="1" x14ac:dyDescent="0.45">
      <c r="A15" s="89"/>
      <c r="B15" s="94"/>
      <c r="C15" s="20" t="s">
        <v>25</v>
      </c>
      <c r="D15" s="93"/>
      <c r="E15" s="75"/>
      <c r="F15" s="75"/>
      <c r="G15" s="123"/>
      <c r="H15" s="93"/>
      <c r="I15" s="93"/>
    </row>
    <row r="16" spans="1:9" x14ac:dyDescent="0.35">
      <c r="A16" s="89"/>
      <c r="B16" s="86">
        <v>8</v>
      </c>
      <c r="C16" s="97"/>
      <c r="D16" s="30" t="s">
        <v>32</v>
      </c>
      <c r="E16" s="100"/>
      <c r="F16" s="74"/>
      <c r="G16" s="121"/>
      <c r="H16" s="97" t="s">
        <v>27</v>
      </c>
      <c r="I16" s="5" t="s">
        <v>99</v>
      </c>
    </row>
    <row r="17" spans="1:9" ht="21" x14ac:dyDescent="0.4">
      <c r="A17" s="89"/>
      <c r="B17" s="87"/>
      <c r="C17" s="98"/>
      <c r="D17" s="19" t="s">
        <v>23</v>
      </c>
      <c r="E17" s="101"/>
      <c r="F17" s="83"/>
      <c r="G17" s="122"/>
      <c r="H17" s="98"/>
      <c r="I17" s="17" t="s">
        <v>31</v>
      </c>
    </row>
    <row r="18" spans="1:9" ht="21.6" thickBot="1" x14ac:dyDescent="0.45">
      <c r="A18" s="89"/>
      <c r="B18" s="94"/>
      <c r="C18" s="99"/>
      <c r="D18" s="22" t="s">
        <v>26</v>
      </c>
      <c r="E18" s="102"/>
      <c r="F18" s="75"/>
      <c r="G18" s="123"/>
      <c r="H18" s="99"/>
      <c r="I18" s="47"/>
    </row>
    <row r="19" spans="1:9" ht="18.75" customHeight="1" thickBot="1" x14ac:dyDescent="0.4">
      <c r="A19" s="89"/>
      <c r="B19" s="56">
        <v>9</v>
      </c>
      <c r="C19" s="59" t="s">
        <v>29</v>
      </c>
      <c r="D19" s="60" t="s">
        <v>34</v>
      </c>
      <c r="E19" s="61" t="s">
        <v>37</v>
      </c>
      <c r="F19" s="37" t="s">
        <v>36</v>
      </c>
      <c r="G19" s="4"/>
      <c r="H19" s="58"/>
      <c r="I19" s="61" t="s">
        <v>28</v>
      </c>
    </row>
    <row r="20" spans="1:9" ht="21" x14ac:dyDescent="0.4">
      <c r="A20" s="89"/>
      <c r="B20" s="90">
        <v>10</v>
      </c>
      <c r="C20" s="45" t="s">
        <v>33</v>
      </c>
      <c r="D20" s="74"/>
      <c r="E20" s="103" t="s">
        <v>39</v>
      </c>
      <c r="F20" s="103" t="s">
        <v>38</v>
      </c>
      <c r="G20" s="74"/>
      <c r="H20" s="106" t="s">
        <v>91</v>
      </c>
      <c r="I20" s="74"/>
    </row>
    <row r="21" spans="1:9" ht="16.2" thickBot="1" x14ac:dyDescent="0.35">
      <c r="A21" s="89"/>
      <c r="B21" s="91"/>
      <c r="C21" s="54" t="s">
        <v>35</v>
      </c>
      <c r="D21" s="75"/>
      <c r="E21" s="104"/>
      <c r="F21" s="104"/>
      <c r="G21" s="75"/>
      <c r="H21" s="107"/>
      <c r="I21" s="75"/>
    </row>
    <row r="22" spans="1:9" ht="21.6" thickBot="1" x14ac:dyDescent="0.35">
      <c r="A22" s="89"/>
      <c r="B22" s="56">
        <v>11</v>
      </c>
      <c r="C22" s="23"/>
      <c r="D22" s="58"/>
      <c r="E22" s="4"/>
      <c r="F22" s="4"/>
      <c r="G22" s="23" t="s">
        <v>41</v>
      </c>
      <c r="H22" s="23" t="s">
        <v>47</v>
      </c>
      <c r="I22" s="4"/>
    </row>
    <row r="23" spans="1:9" ht="21.6" thickBot="1" x14ac:dyDescent="0.45">
      <c r="A23" s="89"/>
      <c r="B23" s="62">
        <v>12</v>
      </c>
      <c r="C23" s="18" t="s">
        <v>50</v>
      </c>
      <c r="D23" s="55" t="s">
        <v>40</v>
      </c>
      <c r="E23" s="2"/>
      <c r="F23" s="44"/>
      <c r="G23" s="50"/>
      <c r="H23" s="48"/>
      <c r="I23" s="46"/>
    </row>
    <row r="24" spans="1:9" ht="21" x14ac:dyDescent="0.4">
      <c r="A24" s="89"/>
      <c r="B24" s="90">
        <v>13</v>
      </c>
      <c r="C24" s="21" t="s">
        <v>89</v>
      </c>
      <c r="D24" s="30" t="s">
        <v>51</v>
      </c>
      <c r="E24" s="106"/>
      <c r="F24" s="112"/>
      <c r="G24" s="36" t="s">
        <v>48</v>
      </c>
      <c r="H24" s="5" t="s">
        <v>94</v>
      </c>
      <c r="I24" s="74"/>
    </row>
    <row r="25" spans="1:9" ht="21" x14ac:dyDescent="0.4">
      <c r="A25" s="89"/>
      <c r="B25" s="105"/>
      <c r="C25" s="9" t="s">
        <v>42</v>
      </c>
      <c r="D25" s="43" t="s">
        <v>43</v>
      </c>
      <c r="E25" s="114"/>
      <c r="F25" s="125"/>
      <c r="G25" s="19" t="s">
        <v>45</v>
      </c>
      <c r="H25" s="17" t="s">
        <v>46</v>
      </c>
      <c r="I25" s="83"/>
    </row>
    <row r="26" spans="1:9" ht="21.6" thickBot="1" x14ac:dyDescent="0.45">
      <c r="A26" s="89"/>
      <c r="B26" s="91"/>
      <c r="C26" s="47"/>
      <c r="D26" s="49"/>
      <c r="E26" s="107"/>
      <c r="F26" s="113"/>
      <c r="G26" s="20" t="s">
        <v>44</v>
      </c>
      <c r="H26" s="42"/>
      <c r="I26" s="75"/>
    </row>
    <row r="27" spans="1:9" ht="21" x14ac:dyDescent="0.3">
      <c r="A27" s="89"/>
      <c r="B27" s="90">
        <v>14</v>
      </c>
      <c r="C27" s="110"/>
      <c r="D27" s="112"/>
      <c r="E27" s="29" t="s">
        <v>53</v>
      </c>
      <c r="F27" s="51" t="s">
        <v>52</v>
      </c>
      <c r="G27" s="110"/>
      <c r="H27" s="126" t="s">
        <v>93</v>
      </c>
      <c r="I27" s="74"/>
    </row>
    <row r="28" spans="1:9" ht="21.6" thickBot="1" x14ac:dyDescent="0.45">
      <c r="A28" s="89"/>
      <c r="B28" s="91"/>
      <c r="C28" s="111"/>
      <c r="D28" s="113"/>
      <c r="E28" s="53" t="s">
        <v>55</v>
      </c>
      <c r="F28" s="52" t="s">
        <v>54</v>
      </c>
      <c r="G28" s="111"/>
      <c r="H28" s="127"/>
      <c r="I28" s="75"/>
    </row>
    <row r="29" spans="1:9" ht="18.600000000000001" thickBot="1" x14ac:dyDescent="0.4">
      <c r="A29" s="89"/>
      <c r="B29" s="66">
        <v>15</v>
      </c>
      <c r="C29" s="2"/>
      <c r="D29" s="5" t="s">
        <v>92</v>
      </c>
      <c r="E29" s="31" t="s">
        <v>56</v>
      </c>
      <c r="F29" s="67" t="s">
        <v>57</v>
      </c>
      <c r="G29" s="2"/>
      <c r="H29" s="68" t="s">
        <v>88</v>
      </c>
      <c r="I29" s="2"/>
    </row>
    <row r="30" spans="1:9" ht="21" customHeight="1" x14ac:dyDescent="0.3">
      <c r="A30" s="89"/>
      <c r="B30" s="90">
        <v>16</v>
      </c>
      <c r="C30" s="29" t="s">
        <v>59</v>
      </c>
      <c r="D30" s="106" t="s">
        <v>58</v>
      </c>
      <c r="E30" s="108"/>
      <c r="F30" s="74"/>
      <c r="G30" s="74"/>
      <c r="H30" s="103" t="s">
        <v>61</v>
      </c>
      <c r="I30" s="92" t="s">
        <v>60</v>
      </c>
    </row>
    <row r="31" spans="1:9" ht="21.6" thickBot="1" x14ac:dyDescent="0.45">
      <c r="A31" s="89"/>
      <c r="B31" s="91"/>
      <c r="C31" s="20" t="s">
        <v>49</v>
      </c>
      <c r="D31" s="107"/>
      <c r="E31" s="109"/>
      <c r="F31" s="75"/>
      <c r="G31" s="75"/>
      <c r="H31" s="104"/>
      <c r="I31" s="93"/>
    </row>
    <row r="32" spans="1:9" ht="21" x14ac:dyDescent="0.4">
      <c r="A32" s="89"/>
      <c r="B32" s="86">
        <v>17</v>
      </c>
      <c r="C32" s="17" t="s">
        <v>102</v>
      </c>
      <c r="D32" s="36" t="s">
        <v>69</v>
      </c>
      <c r="E32" s="74"/>
      <c r="F32" s="74"/>
      <c r="G32" s="84" t="s">
        <v>68</v>
      </c>
      <c r="H32" s="92" t="s">
        <v>64</v>
      </c>
      <c r="I32" s="7" t="s">
        <v>65</v>
      </c>
    </row>
    <row r="33" spans="1:9" x14ac:dyDescent="0.3">
      <c r="A33" s="89"/>
      <c r="B33" s="87"/>
      <c r="C33" s="34" t="s">
        <v>62</v>
      </c>
      <c r="D33" s="72" t="s">
        <v>73</v>
      </c>
      <c r="E33" s="83"/>
      <c r="F33" s="83"/>
      <c r="G33" s="85"/>
      <c r="H33" s="124"/>
      <c r="I33" s="41" t="s">
        <v>66</v>
      </c>
    </row>
    <row r="34" spans="1:9" ht="18.75" customHeight="1" thickBot="1" x14ac:dyDescent="0.4">
      <c r="A34" s="89"/>
      <c r="B34" s="87"/>
      <c r="C34" s="9" t="s">
        <v>67</v>
      </c>
      <c r="D34" s="69"/>
      <c r="E34" s="83"/>
      <c r="F34" s="83"/>
      <c r="G34" s="85"/>
      <c r="H34" s="124"/>
      <c r="I34" s="71"/>
    </row>
    <row r="35" spans="1:9" ht="21" x14ac:dyDescent="0.4">
      <c r="A35" s="89"/>
      <c r="B35" s="90">
        <v>18</v>
      </c>
      <c r="C35" s="115"/>
      <c r="D35" s="70" t="s">
        <v>103</v>
      </c>
      <c r="E35" s="18" t="s">
        <v>70</v>
      </c>
      <c r="F35" s="18" t="s">
        <v>105</v>
      </c>
      <c r="G35" s="74"/>
      <c r="H35" s="32" t="s">
        <v>74</v>
      </c>
      <c r="I35" s="118" t="s">
        <v>111</v>
      </c>
    </row>
    <row r="36" spans="1:9" ht="21" x14ac:dyDescent="0.4">
      <c r="A36" s="89"/>
      <c r="B36" s="105"/>
      <c r="C36" s="116"/>
      <c r="D36" s="39" t="s">
        <v>98</v>
      </c>
      <c r="E36" s="17" t="s">
        <v>72</v>
      </c>
      <c r="F36" s="40" t="s">
        <v>71</v>
      </c>
      <c r="G36" s="83"/>
      <c r="H36" s="6" t="s">
        <v>63</v>
      </c>
      <c r="I36" s="119"/>
    </row>
    <row r="37" spans="1:9" ht="21.6" thickBot="1" x14ac:dyDescent="0.45">
      <c r="A37" s="89"/>
      <c r="B37" s="91"/>
      <c r="C37" s="117"/>
      <c r="D37" s="49"/>
      <c r="E37" s="20" t="s">
        <v>104</v>
      </c>
      <c r="F37" s="12" t="s">
        <v>95</v>
      </c>
      <c r="G37" s="75"/>
      <c r="H37" s="33"/>
      <c r="I37" s="120"/>
    </row>
    <row r="38" spans="1:9" ht="18.600000000000001" thickBot="1" x14ac:dyDescent="0.4">
      <c r="A38" s="89"/>
      <c r="B38" s="63">
        <v>20</v>
      </c>
      <c r="C38" s="4"/>
      <c r="D38" s="4"/>
      <c r="E38" s="4"/>
      <c r="F38" s="4"/>
      <c r="G38" s="4"/>
      <c r="H38" s="13" t="s">
        <v>110</v>
      </c>
      <c r="I38" s="10" t="s">
        <v>90</v>
      </c>
    </row>
    <row r="39" spans="1:9" ht="21.6" thickBot="1" x14ac:dyDescent="0.45">
      <c r="A39" s="73"/>
      <c r="B39" s="81" t="s">
        <v>84</v>
      </c>
      <c r="C39" s="81"/>
      <c r="D39" s="81"/>
      <c r="E39" s="81"/>
      <c r="F39" s="81"/>
      <c r="G39" s="81"/>
      <c r="H39" s="81"/>
      <c r="I39" s="82"/>
    </row>
    <row r="40" spans="1:9" s="14" customFormat="1" ht="18.600000000000001" thickBot="1" x14ac:dyDescent="0.4">
      <c r="A40" s="73"/>
      <c r="B40" s="16"/>
      <c r="C40" s="15">
        <f>COUNTIF(C4:C38, "&lt;&gt;")</f>
        <v>20</v>
      </c>
      <c r="D40" s="15">
        <f>COUNTIF(D4:D38, "&lt;&gt;")</f>
        <v>20</v>
      </c>
      <c r="E40" s="15">
        <f t="shared" ref="E40:I40" si="0">COUNTIF(E4:E38, "&lt;&gt;")</f>
        <v>9</v>
      </c>
      <c r="F40" s="15">
        <f t="shared" si="0"/>
        <v>8</v>
      </c>
      <c r="G40" s="15">
        <f t="shared" si="0"/>
        <v>10</v>
      </c>
      <c r="H40" s="15">
        <f t="shared" si="0"/>
        <v>16</v>
      </c>
      <c r="I40" s="15">
        <f t="shared" si="0"/>
        <v>11</v>
      </c>
    </row>
    <row r="41" spans="1:9" ht="21.6" thickBot="1" x14ac:dyDescent="0.45">
      <c r="A41" s="73"/>
      <c r="B41" s="81" t="str">
        <f>SUM(C40:I40) &amp; " Total Races (Prior to Breeders' Cup Weekend)"</f>
        <v>94 Total Races (Prior to Breeders' Cup Weekend)</v>
      </c>
      <c r="C41" s="81"/>
      <c r="D41" s="81"/>
      <c r="E41" s="81"/>
      <c r="F41" s="81"/>
      <c r="G41" s="81"/>
      <c r="H41" s="81"/>
      <c r="I41" s="81"/>
    </row>
    <row r="42" spans="1:9" ht="18.600000000000001" thickBot="1" x14ac:dyDescent="0.4">
      <c r="A42" s="73"/>
      <c r="B42" s="76" t="s">
        <v>82</v>
      </c>
      <c r="C42" s="76"/>
      <c r="D42" s="76"/>
      <c r="E42" s="77"/>
      <c r="F42" s="78" t="s">
        <v>83</v>
      </c>
      <c r="G42" s="79"/>
      <c r="H42" s="79"/>
      <c r="I42" s="80"/>
    </row>
  </sheetData>
  <mergeCells count="80">
    <mergeCell ref="I20:I21"/>
    <mergeCell ref="B6:B7"/>
    <mergeCell ref="C6:C7"/>
    <mergeCell ref="E6:E7"/>
    <mergeCell ref="F6:F7"/>
    <mergeCell ref="G6:G7"/>
    <mergeCell ref="H6:H7"/>
    <mergeCell ref="I6:I7"/>
    <mergeCell ref="B12:B13"/>
    <mergeCell ref="D12:D13"/>
    <mergeCell ref="E12:E13"/>
    <mergeCell ref="F12:F13"/>
    <mergeCell ref="G12:G13"/>
    <mergeCell ref="D14:D15"/>
    <mergeCell ref="I9:I10"/>
    <mergeCell ref="C9:C10"/>
    <mergeCell ref="D9:D10"/>
    <mergeCell ref="E9:E10"/>
    <mergeCell ref="F9:F10"/>
    <mergeCell ref="H9:H10"/>
    <mergeCell ref="H12:H13"/>
    <mergeCell ref="I12:I13"/>
    <mergeCell ref="H20:H21"/>
    <mergeCell ref="I14:I15"/>
    <mergeCell ref="B41:I41"/>
    <mergeCell ref="G35:G37"/>
    <mergeCell ref="H14:H15"/>
    <mergeCell ref="B35:B37"/>
    <mergeCell ref="C35:C37"/>
    <mergeCell ref="I35:I37"/>
    <mergeCell ref="H16:H18"/>
    <mergeCell ref="G16:G18"/>
    <mergeCell ref="F16:F18"/>
    <mergeCell ref="H32:H34"/>
    <mergeCell ref="F24:F26"/>
    <mergeCell ref="G14:G15"/>
    <mergeCell ref="I30:I31"/>
    <mergeCell ref="G30:G31"/>
    <mergeCell ref="D27:D28"/>
    <mergeCell ref="B30:B31"/>
    <mergeCell ref="E24:E26"/>
    <mergeCell ref="I24:I26"/>
    <mergeCell ref="G27:G28"/>
    <mergeCell ref="H27:H28"/>
    <mergeCell ref="I27:I28"/>
    <mergeCell ref="H30:H31"/>
    <mergeCell ref="F20:F21"/>
    <mergeCell ref="G20:G21"/>
    <mergeCell ref="F30:F31"/>
    <mergeCell ref="E20:E21"/>
    <mergeCell ref="A39:A42"/>
    <mergeCell ref="B24:B26"/>
    <mergeCell ref="D30:D31"/>
    <mergeCell ref="E30:E31"/>
    <mergeCell ref="B27:B28"/>
    <mergeCell ref="C27:C28"/>
    <mergeCell ref="B14:B15"/>
    <mergeCell ref="G4:G5"/>
    <mergeCell ref="E14:E15"/>
    <mergeCell ref="C16:C18"/>
    <mergeCell ref="E16:E18"/>
    <mergeCell ref="B4:B5"/>
    <mergeCell ref="B16:B18"/>
    <mergeCell ref="B9:B10"/>
    <mergeCell ref="A1:B1"/>
    <mergeCell ref="E4:E5"/>
    <mergeCell ref="F4:F5"/>
    <mergeCell ref="B42:E42"/>
    <mergeCell ref="F42:I42"/>
    <mergeCell ref="B39:I39"/>
    <mergeCell ref="E32:E34"/>
    <mergeCell ref="F32:F34"/>
    <mergeCell ref="G32:G34"/>
    <mergeCell ref="B32:B34"/>
    <mergeCell ref="C1:I1"/>
    <mergeCell ref="F14:F15"/>
    <mergeCell ref="A2:A38"/>
    <mergeCell ref="B20:B21"/>
    <mergeCell ref="D20:D21"/>
    <mergeCell ref="H4:H5"/>
  </mergeCells>
  <pageMargins left="0.25" right="0.25" top="0.75" bottom="0.75" header="0.3" footer="0.3"/>
  <pageSetup scale="51" fitToHeight="10" orientation="landscape" horizontalDpi="300" verticalDpi="300" r:id="rId1"/>
  <headerFooter>
    <oddHeader>&amp;C&amp;20Road to the Breeders' Cup '26 Schedule by Division</oddHeader>
    <oddFooter>&amp;C&amp;14Gallop Racing LLC&amp;RCurrent as of: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Casserly</dc:creator>
  <cp:lastModifiedBy>Michael Casserly</cp:lastModifiedBy>
  <cp:lastPrinted>2025-12-30T23:52:06Z</cp:lastPrinted>
  <dcterms:created xsi:type="dcterms:W3CDTF">2023-07-13T18:14:07Z</dcterms:created>
  <dcterms:modified xsi:type="dcterms:W3CDTF">2026-10-25T16:25:46Z</dcterms:modified>
</cp:coreProperties>
</file>